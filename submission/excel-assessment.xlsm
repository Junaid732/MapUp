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apUp\"/>
    </mc:Choice>
  </mc:AlternateContent>
  <xr:revisionPtr revIDLastSave="0" documentId="13_ncr:1_{5BAB1445-6C77-4A21-8701-0456FFEBF008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A22" i="20"/>
  <c r="B22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<sst xmlns="http://schemas.openxmlformats.org/spreadsheetml/2006/main" count="406" uniqueCount="183">
  <si>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</si>
  <si>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</si>
  <si>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</si>
  <si>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</si>
  <si>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</si>
  <si>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</si>
  <si>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</si>
  <si>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</si>
  <si>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</si>
  <si>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</si>
  <si>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</si>
  <si>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</si>
  <si>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</si>
  <si>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</si>
  <si>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</si>
  <si>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</si>
  <si>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</si>
  <si>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</si>
  <si>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</si>
  <si>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</si>
  <si>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</si>
  <si>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</si>
  <si>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</si>
  <si>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</si>
  <si>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</si>
  <si>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</si>
  <si>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</si>
  <si>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</si>
  <si>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</si>
  <si>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</si>
  <si>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</si>
  <si>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</si>
  <si>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</si>
  <si>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</si>
  <si>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</si>
  <si>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</si>
  <si>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</si>
  <si>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</si>
  <si>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</si>
  <si>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</si>
  <si>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</si>
  <si>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</si>
  <si>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</si>
  <si>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</si>
  <si>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</si>
  <si>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</si>
  <si>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</si>
  <si>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</si>
  <si>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</si>
  <si>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</si>
  <si>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</si>
  <si>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</si>
  <si>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</si>
  <si>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</si>
  <si>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</si>
  <si>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</si>
  <si>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</si>
  <si>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</si>
  <si>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</si>
  <si>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</si>
  <si>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</si>
  <si>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</si>
  <si>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</si>
  <si>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</si>
  <si>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</si>
  <si>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</si>
  <si>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</si>
  <si>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</si>
  <si>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</si>
  <si>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</si>
  <si>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</si>
  <si>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</si>
  <si>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</si>
  <si>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</si>
  <si>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</si>
  <si>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</si>
  <si>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</si>
  <si>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</si>
  <si>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</si>
  <si>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</si>
  <si>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</si>
  <si>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</si>
  <si>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</si>
  <si>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</si>
  <si>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</si>
  <si>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</si>
  <si>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</si>
  <si>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</si>
  <si>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</si>
  <si>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</si>
  <si>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</si>
  <si>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</si>
  <si>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</si>
  <si>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</si>
  <si>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</si>
  <si>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</si>
  <si>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</si>
  <si>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</si>
  <si>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</si>
  <si>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</si>
  <si>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</si>
  <si>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</si>
  <si>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</si>
  <si>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</si>
  <si>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</si>
  <si>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</si>
  <si>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</si>
  <si>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</si>
  <si>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</si>
  <si>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</si>
  <si>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</si>
  <si>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</si>
  <si>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</si>
  <si>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</si>
  <si>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</si>
  <si>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</si>
  <si>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</si>
  <si>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</si>
  <si>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</si>
  <si>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</si>
  <si>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</si>
  <si>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</si>
  <si>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</si>
  <si>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</si>
  <si>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</si>
  <si>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</si>
  <si>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</si>
  <si>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</si>
  <si>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</si>
  <si>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</si>
  <si>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</si>
  <si>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</si>
  <si>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</si>
  <si>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</si>
  <si>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</si>
  <si>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</si>
  <si>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</si>
  <si>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</si>
  <si>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</si>
  <si>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</si>
  <si>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</si>
  <si>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</si>
  <si>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</si>
  <si>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</si>
  <si>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</si>
  <si>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</si>
  <si>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</si>
  <si>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</si>
  <si>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</si>
  <si>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</si>
  <si>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</si>
  <si>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</si>
  <si>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</si>
  <si>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</si>
  <si>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</si>
  <si>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</si>
  <si>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</si>
  <si>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</si>
  <si>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</si>
  <si>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</si>
  <si>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</si>
  <si>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</si>
  <si>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</si>
  <si>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</si>
  <si>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</si>
  <si>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</si>
  <si>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</si>
  <si>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</si>
  <si>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</si>
  <si>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</si>
  <si>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</si>
  <si>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</si>
  <si>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</si>
  <si>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</si>
  <si>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</si>
  <si>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</t>
  </si>
  <si>
    <t>Sum(&gt;20)=SUMIF(H2:H40,"&gt;20")</t>
  </si>
  <si>
    <t>Built-in-function = Text to Columns</t>
  </si>
  <si>
    <t>Split the elements into multiple columns using text to columns tool, setting delimiter as "-" and selecting the empty columns as data entries.</t>
  </si>
  <si>
    <t>1. Used find &amp; select function to use replace tool, replaced all #N/A values by 20. 2. Used (=SUM(C12:C21)) formula to calculate sum.</t>
  </si>
  <si>
    <t>First, replaced all #N/A values by 20 so that summation can get easier, then calculated the sum using the above formula.</t>
  </si>
  <si>
    <t>Vlookup function for name_1 and name_2. Index, match and xlookup for values column.</t>
  </si>
  <si>
    <t>used vlookup for name_1 and name_2 to convert the Ids in table B in correspondence to table C. Used Index, match and xllokup to find the actual values with respect to the intersection of Table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</si>
</sst>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5" x14ac:dyDescent="0.35">
      <c r="A4" s="2" t="s">
        <v>109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N1" zoomScaleNormal="100" workbookViewId="0">
      <pane ySplit="1" topLeftCell="A2" activePane="bottomLeft" state="frozen"/>
      <selection pane="bottomLeft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103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5">
      <c r="F41" s="23" t="s">
        <v>175</v>
      </c>
      <c r="H41" s="1" t="s">
        <v>176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5">
      <c r="A2" s="2"/>
      <c r="B2" s="5" t="s">
        <v>158</v>
      </c>
      <c r="C2" s="2"/>
    </row>
    <row r="3" spans="1:5" x14ac:dyDescent="0.35">
      <c r="A3" s="6">
        <v>1</v>
      </c>
      <c r="B3" s="2" t="s">
        <v>105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102</v>
      </c>
      <c r="C5" s="33">
        <f>SUMIF(H2:H40,"&gt;20")</f>
        <v>0</v>
      </c>
      <c r="E5" s="1">
        <v>10</v>
      </c>
    </row>
    <row r="6" spans="1:5" x14ac:dyDescent="0.35">
      <c r="A6" s="6">
        <v>4</v>
      </c>
      <c r="B6" s="2" t="s">
        <v>104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D29" sqref="D29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162</v>
      </c>
    </row>
    <row r="2" spans="1:7" s="40" customFormat="1" ht="21" x14ac:dyDescent="0.5">
      <c r="B2" s="40" t="s">
        <v>159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160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VLOOKUP(A6,Dataset!A2:W40,7,FALSE)</f>
        <v>2.7</v>
      </c>
      <c r="C6" s="11">
        <f>VLOOKUP(A6,Dataset!A2:X40,14,FALSE)</f>
        <v>7.6</v>
      </c>
      <c r="D6" s="11">
        <f>VLOOKUP(A6,Dataset!A2:Y40,18,FALSE)</f>
        <v>4.2</v>
      </c>
      <c r="E6" s="11">
        <f>VLOOKUP(A6,Dataset!A2:Z40,20,FALSE)</f>
        <v>8.9</v>
      </c>
      <c r="F6" s="11">
        <f>VLOOKUP(A6,Dataset!A2:AA40,22,FALSE)</f>
        <v>4.2</v>
      </c>
    </row>
    <row r="7" spans="1:7" ht="14.5" x14ac:dyDescent="0.35">
      <c r="A7" s="7" t="s">
        <v>4</v>
      </c>
      <c r="B7" s="11">
        <f>VLOOKUP(A7,Dataset!A3:W41,7,FALSE)</f>
        <v>2.7</v>
      </c>
      <c r="C7" s="11">
        <f>VLOOKUP(A7,Dataset!A3:X41,14,FALSE)</f>
        <v>7.6</v>
      </c>
      <c r="D7" s="11">
        <f>VLOOKUP(A7,Dataset!A3:Y41,18,FALSE)</f>
        <v>4.2</v>
      </c>
      <c r="E7" s="11">
        <f>VLOOKUP(A7,Dataset!A3:Z41,20,FALSE)</f>
        <v>8.9</v>
      </c>
      <c r="F7" s="11">
        <f>VLOOKUP(A7,Dataset!A3:AA41,22,FALSE)</f>
        <v>4.2</v>
      </c>
    </row>
    <row r="8" spans="1:7" ht="14.5" x14ac:dyDescent="0.35">
      <c r="A8" s="7" t="s">
        <v>7</v>
      </c>
      <c r="B8" s="11">
        <f>VLOOKUP(A8,Dataset!A4:W42,7,FALSE)</f>
        <v>3.6</v>
      </c>
      <c r="C8" s="11">
        <f>VLOOKUP(A8,Dataset!A4:X42,14,FALSE)</f>
        <v>11.1</v>
      </c>
      <c r="D8" s="11">
        <f>VLOOKUP(A8,Dataset!A4:Y42,18,FALSE)</f>
        <v>5.8</v>
      </c>
      <c r="E8" s="11">
        <f>VLOOKUP(A8,Dataset!A4:Z42,20,FALSE)</f>
        <v>12.2</v>
      </c>
      <c r="F8" s="11">
        <f>VLOOKUP(A8,Dataset!A4:AA42,22,FALSE)</f>
        <v>5.8</v>
      </c>
    </row>
    <row r="9" spans="1:7" ht="14.5" x14ac:dyDescent="0.35">
      <c r="A9" s="7" t="s">
        <v>8</v>
      </c>
      <c r="B9" s="11">
        <f>VLOOKUP(A9,Dataset!A5:W43,7,FALSE)</f>
        <v>4.9000000000000004</v>
      </c>
      <c r="C9" s="11">
        <f>VLOOKUP(A9,Dataset!A5:X43,14,FALSE)</f>
        <v>13.3</v>
      </c>
      <c r="D9" s="11">
        <f>VLOOKUP(A9,Dataset!A5:Y43,18,FALSE)</f>
        <v>8.1</v>
      </c>
      <c r="E9" s="11">
        <f>VLOOKUP(A9,Dataset!A5:Z43,20,FALSE)</f>
        <v>17</v>
      </c>
      <c r="F9" s="11">
        <f>VLOOKUP(A9,Dataset!A5:AA43,22,FALSE)</f>
        <v>8.1</v>
      </c>
    </row>
    <row r="10" spans="1:7" ht="14.5" x14ac:dyDescent="0.35">
      <c r="A10" s="7" t="s">
        <v>11</v>
      </c>
      <c r="B10" s="11">
        <f>VLOOKUP(A10,Dataset!A6:W44,7,FALSE)</f>
        <v>9.4</v>
      </c>
      <c r="C10" s="11">
        <f>VLOOKUP(A10,Dataset!A6:X44,14,FALSE)</f>
        <v>28.3</v>
      </c>
      <c r="D10" s="11">
        <f>VLOOKUP(A10,Dataset!A6:Y44,18,FALSE)</f>
        <v>16.100000000000001</v>
      </c>
      <c r="E10" s="11">
        <f>VLOOKUP(A10,Dataset!A6:Z44,20,FALSE)</f>
        <v>32.799999999999997</v>
      </c>
      <c r="F10" s="11">
        <f>VLOOKUP(A10,Dataset!A6:AA44,22,FALSE)</f>
        <v>16.100000000000001</v>
      </c>
    </row>
    <row r="11" spans="1:7" ht="14.5" x14ac:dyDescent="0.35">
      <c r="A11" s="7" t="s">
        <v>12</v>
      </c>
      <c r="B11" s="11">
        <f>VLOOKUP(A11,Dataset!A7:W45,7,FALSE)</f>
        <v>11.6</v>
      </c>
      <c r="C11" s="11">
        <f>VLOOKUP(A11,Dataset!A7:X45,14,FALSE)</f>
        <v>35.200000000000003</v>
      </c>
      <c r="D11" s="11">
        <f>VLOOKUP(A11,Dataset!A7:Y45,18,FALSE)</f>
        <v>21.3</v>
      </c>
      <c r="E11" s="11">
        <f>VLOOKUP(A11,Dataset!A7:Z45,20,FALSE)</f>
        <v>43</v>
      </c>
      <c r="F11" s="11">
        <f>VLOOKUP(A11,Dataset!A7:AA45,22,FALSE)</f>
        <v>21.3</v>
      </c>
    </row>
    <row r="12" spans="1:7" ht="14.5" x14ac:dyDescent="0.35">
      <c r="A12" s="7" t="s">
        <v>14</v>
      </c>
      <c r="B12" s="11">
        <f>VLOOKUP(A12,Dataset!A8:W46,7,FALSE)</f>
        <v>18.399999999999999</v>
      </c>
      <c r="C12" s="11">
        <f>VLOOKUP(A12,Dataset!A8:X46,14,FALSE)</f>
        <v>55.6</v>
      </c>
      <c r="D12" s="11">
        <f>VLOOKUP(A12,Dataset!A8:Y46,18,FALSE)</f>
        <v>33.799999999999997</v>
      </c>
      <c r="E12" s="11">
        <f>VLOOKUP(A12,Dataset!A8:Z46,20,FALSE)</f>
        <v>67.900000000000006</v>
      </c>
      <c r="F12" s="11">
        <f>VLOOKUP(A12,Dataset!A8:AA46,22,FALSE)</f>
        <v>33.799999999999997</v>
      </c>
    </row>
    <row r="13" spans="1:7" ht="14.5" x14ac:dyDescent="0.35">
      <c r="A13" s="7" t="s">
        <v>15</v>
      </c>
      <c r="B13" s="11">
        <f>VLOOKUP(A13,Dataset!A9:W47,7,FALSE)</f>
        <v>0</v>
      </c>
      <c r="C13" s="11">
        <f>VLOOKUP(A13,Dataset!A9:X47,14,FALSE)</f>
        <v>0</v>
      </c>
      <c r="D13" s="11">
        <f>VLOOKUP(A13,Dataset!A9:Y47,18,FALSE)</f>
        <v>0</v>
      </c>
      <c r="E13" s="11">
        <f>VLOOKUP(A13,Dataset!A9:Z47,20,FALSE)</f>
        <v>0</v>
      </c>
      <c r="F13" s="11">
        <f>VLOOKUP(A13,Dataset!A9:AA47,22,FALSE)</f>
        <v>0</v>
      </c>
    </row>
    <row r="14" spans="1:7" ht="14.5" x14ac:dyDescent="0.35">
      <c r="A14" s="7" t="s">
        <v>16</v>
      </c>
      <c r="B14" s="11">
        <f>VLOOKUP(A14,Dataset!A10:W48,7,FALSE)</f>
        <v>21.9</v>
      </c>
      <c r="C14" s="11">
        <f>VLOOKUP(A14,Dataset!A10:X48,14,FALSE)</f>
        <v>61.5</v>
      </c>
      <c r="D14" s="11">
        <f>VLOOKUP(A14,Dataset!A10:Y48,18,FALSE)</f>
        <v>40.1</v>
      </c>
      <c r="E14" s="11">
        <f>VLOOKUP(A14,Dataset!A10:Z48,20,FALSE)</f>
        <v>76.599999999999994</v>
      </c>
      <c r="F14" s="11">
        <f>VLOOKUP(A14,Dataset!A10:AA48,22,FALSE)</f>
        <v>40.1</v>
      </c>
    </row>
    <row r="15" spans="1:7" ht="14.5" x14ac:dyDescent="0.35">
      <c r="A15" s="7" t="s">
        <v>18</v>
      </c>
      <c r="B15" s="11">
        <f>VLOOKUP(A15,Dataset!A11:W49,7,FALSE)</f>
        <v>26.8</v>
      </c>
      <c r="C15" s="11">
        <f>VLOOKUP(A15,Dataset!A11:X49,14,FALSE)</f>
        <v>79.599999999999994</v>
      </c>
      <c r="D15" s="11">
        <f>VLOOKUP(A15,Dataset!A11:Y49,18,FALSE)</f>
        <v>47.9</v>
      </c>
      <c r="E15" s="11">
        <f>VLOOKUP(A15,Dataset!A11:Z49,20,FALSE)</f>
        <v>96.8</v>
      </c>
      <c r="F15" s="11">
        <f>VLOOKUP(A15,Dataset!A11:AA49,22,FALSE)</f>
        <v>47.9</v>
      </c>
    </row>
    <row r="16" spans="1:7" ht="14.5" x14ac:dyDescent="0.35">
      <c r="A16" s="7" t="s">
        <v>20</v>
      </c>
      <c r="B16" s="11">
        <f>VLOOKUP(A16,Dataset!A12:W50,7,FALSE)</f>
        <v>28.5</v>
      </c>
      <c r="C16" s="11">
        <f>VLOOKUP(A16,Dataset!A12:X50,14,FALSE)</f>
        <v>85.4</v>
      </c>
      <c r="D16" s="11">
        <f>VLOOKUP(A16,Dataset!A12:Y50,18,FALSE)</f>
        <v>52.3</v>
      </c>
      <c r="E16" s="11">
        <f>VLOOKUP(A16,Dataset!A12:Z50,20,FALSE)</f>
        <v>106.1</v>
      </c>
      <c r="F16" s="11">
        <f>VLOOKUP(A16,Dataset!A12:AA50,22,FALSE)</f>
        <v>52.3</v>
      </c>
    </row>
    <row r="17" spans="1:6" ht="14.5" x14ac:dyDescent="0.35">
      <c r="A17" s="7" t="s">
        <v>22</v>
      </c>
      <c r="B17" s="11">
        <f>VLOOKUP(A17,Dataset!A13:W51,7,FALSE)</f>
        <v>30.7</v>
      </c>
      <c r="C17" s="11">
        <f>VLOOKUP(A17,Dataset!A13:X51,14,FALSE)</f>
        <v>92.1</v>
      </c>
      <c r="D17" s="11">
        <f>VLOOKUP(A17,Dataset!A13:Y51,18,FALSE)</f>
        <v>57</v>
      </c>
      <c r="E17" s="11">
        <f>VLOOKUP(A17,Dataset!A13:Z51,20,FALSE)</f>
        <v>115.1</v>
      </c>
      <c r="F17" s="11">
        <f>VLOOKUP(A17,Dataset!A13:AA51,22,FALSE)</f>
        <v>57</v>
      </c>
    </row>
    <row r="18" spans="1:6" ht="14.5" x14ac:dyDescent="0.35">
      <c r="A18" s="7" t="s">
        <v>23</v>
      </c>
      <c r="B18" s="11">
        <f>VLOOKUP(A18,Dataset!A14:W52,7,FALSE)</f>
        <v>33.799999999999997</v>
      </c>
      <c r="C18" s="11">
        <f>VLOOKUP(A18,Dataset!A14:X52,14,FALSE)</f>
        <v>101.3</v>
      </c>
      <c r="D18" s="11">
        <f>VLOOKUP(A18,Dataset!A14:Y52,18,FALSE)</f>
        <v>61.4</v>
      </c>
      <c r="E18" s="11">
        <f>VLOOKUP(A18,Dataset!A14:Z52,20,FALSE)</f>
        <v>124.4</v>
      </c>
      <c r="F18" s="11">
        <f>VLOOKUP(A18,Dataset!A14:AA52,22,FALSE)</f>
        <v>61.4</v>
      </c>
    </row>
    <row r="19" spans="1:6" ht="14.5" x14ac:dyDescent="0.35">
      <c r="A19" s="7" t="s">
        <v>24</v>
      </c>
      <c r="B19" s="11">
        <f>VLOOKUP(A19,Dataset!A15:W53,7,FALSE)</f>
        <v>34.700000000000003</v>
      </c>
      <c r="C19" s="11">
        <f>VLOOKUP(A19,Dataset!A15:X53,14,FALSE)</f>
        <v>106.1</v>
      </c>
      <c r="D19" s="11">
        <f>VLOOKUP(A19,Dataset!A15:Y53,18,FALSE)</f>
        <v>63.6</v>
      </c>
      <c r="E19" s="11">
        <f>VLOOKUP(A19,Dataset!A15:Z53,20,FALSE)</f>
        <v>128.6</v>
      </c>
      <c r="F19" s="11">
        <f>VLOOKUP(A19,Dataset!A15:AA53,22,FALSE)</f>
        <v>63.6</v>
      </c>
    </row>
    <row r="20" spans="1:6" ht="14.5" x14ac:dyDescent="0.35">
      <c r="A20" s="7" t="s">
        <v>28</v>
      </c>
      <c r="B20" s="11">
        <f>VLOOKUP(A20,Dataset!A16:W54,7,FALSE)</f>
        <v>0</v>
      </c>
      <c r="C20" s="11">
        <f>VLOOKUP(A20,Dataset!A16:X54,14,FALSE)</f>
        <v>0</v>
      </c>
      <c r="D20" s="11">
        <f>VLOOKUP(A20,Dataset!A16:Y54,18,FALSE)</f>
        <v>0</v>
      </c>
      <c r="E20" s="11">
        <f>VLOOKUP(A20,Dataset!A16:Z54,20,FALSE)</f>
        <v>0</v>
      </c>
      <c r="F20" s="11">
        <f>VLOOKUP(A20,Dataset!A16:AA54,22,FALSE)</f>
        <v>0</v>
      </c>
    </row>
    <row r="21" spans="1:6" ht="14.5" x14ac:dyDescent="0.35">
      <c r="A21" s="7" t="s">
        <v>57</v>
      </c>
      <c r="B21" s="11">
        <f>VLOOKUP(A21,Dataset!A17:W55,7,FALSE)</f>
        <v>41.3</v>
      </c>
      <c r="C21" s="11">
        <f>VLOOKUP(A21,Dataset!A17:X55,14,FALSE)</f>
        <v>124.4</v>
      </c>
      <c r="D21" s="11">
        <f>VLOOKUP(A21,Dataset!A17:Y55,18,FALSE)</f>
        <v>75</v>
      </c>
      <c r="E21" s="11">
        <f>VLOOKUP(A21,Dataset!A17:Z55,20,FALSE)</f>
        <v>151.5</v>
      </c>
      <c r="F21" s="11">
        <f>VLOOKUP(A21,Dataset!A17:AA55,22,FALSE)</f>
        <v>75</v>
      </c>
    </row>
    <row r="22" spans="1:6" ht="14.5" x14ac:dyDescent="0.35">
      <c r="A22" s="7" t="s">
        <v>58</v>
      </c>
      <c r="B22" s="11">
        <f>VLOOKUP(A22,Dataset!A18:W56,7,FALSE)</f>
        <v>-1</v>
      </c>
      <c r="C22" s="11">
        <f>VLOOKUP(A22,Dataset!A18:X56,14,FALSE)</f>
        <v>-1</v>
      </c>
      <c r="D22" s="11">
        <f>VLOOKUP(A22,Dataset!A18:Y56,18,FALSE)</f>
        <v>-1</v>
      </c>
      <c r="E22" s="11">
        <f>VLOOKUP(A22,Dataset!A18:Z56,20,FALSE)</f>
        <v>-1</v>
      </c>
      <c r="F22" s="11">
        <f>VLOOKUP(A22,Dataset!A18:AA56,22,FALSE)</f>
        <v>-1</v>
      </c>
    </row>
    <row r="23" spans="1:6" ht="14.5" x14ac:dyDescent="0.35">
      <c r="A23" s="7" t="s">
        <v>31</v>
      </c>
      <c r="B23" s="11">
        <f>VLOOKUP(A23,Dataset!A19:W57,7,FALSE)</f>
        <v>45</v>
      </c>
      <c r="C23" s="11">
        <f>VLOOKUP(A23,Dataset!A19:X57,14,FALSE)</f>
        <v>133.4</v>
      </c>
      <c r="D23" s="11">
        <f>VLOOKUP(A23,Dataset!A19:Y57,18,FALSE)</f>
        <v>79.400000000000006</v>
      </c>
      <c r="E23" s="11">
        <f>VLOOKUP(A23,Dataset!A19:Z57,20,FALSE)</f>
        <v>160.9</v>
      </c>
      <c r="F23" s="11">
        <f>VLOOKUP(A23,Dataset!A19:AA57,22,FALSE)</f>
        <v>79.400000000000006</v>
      </c>
    </row>
    <row r="24" spans="1:6" ht="14.5" x14ac:dyDescent="0.35">
      <c r="A24" s="7" t="s">
        <v>32</v>
      </c>
      <c r="B24" s="11">
        <f>VLOOKUP(A24,Dataset!A20:W58,7,FALSE)</f>
        <v>-1</v>
      </c>
      <c r="C24" s="11">
        <f>VLOOKUP(A24,Dataset!A20:X58,14,FALSE)</f>
        <v>-1</v>
      </c>
      <c r="D24" s="11">
        <f>VLOOKUP(A24,Dataset!A20:Y58,18,FALSE)</f>
        <v>-1</v>
      </c>
      <c r="E24" s="11">
        <f>VLOOKUP(A24,Dataset!A20:Z58,20,FALSE)</f>
        <v>-1</v>
      </c>
      <c r="F24" s="11">
        <f>VLOOKUP(A24,Dataset!A20:AA58,22,FALSE)</f>
        <v>-1</v>
      </c>
    </row>
    <row r="25" spans="1:6" ht="14.5" x14ac:dyDescent="0.35">
      <c r="A25" s="7" t="s">
        <v>34</v>
      </c>
      <c r="B25" s="11">
        <f>VLOOKUP(A25,Dataset!A21:W59,7,FALSE)</f>
        <v>43.3</v>
      </c>
      <c r="C25" s="11">
        <f>VLOOKUP(A25,Dataset!A21:X59,14,FALSE)</f>
        <v>128.6</v>
      </c>
      <c r="D25" s="11">
        <f>VLOOKUP(A25,Dataset!A21:Y59,18,FALSE)</f>
        <v>79.400000000000006</v>
      </c>
      <c r="E25" s="11">
        <f>VLOOKUP(A25,Dataset!A21:Z59,20,FALSE)</f>
        <v>160.9</v>
      </c>
      <c r="F25" s="11">
        <f>VLOOKUP(A25,Dataset!A21:AA59,22,FALSE)</f>
        <v>79.400000000000006</v>
      </c>
    </row>
    <row r="26" spans="1:6" ht="14.5" x14ac:dyDescent="0.35">
      <c r="A26" s="7" t="s">
        <v>37</v>
      </c>
      <c r="B26" s="11">
        <f>VLOOKUP(A26,Dataset!A22:W60,7,FALSE)</f>
        <v>49.1</v>
      </c>
      <c r="C26" s="11">
        <f>VLOOKUP(A26,Dataset!A22:X60,14,FALSE)</f>
        <v>146.80000000000001</v>
      </c>
      <c r="D26" s="11">
        <f>VLOOKUP(A26,Dataset!A22:Y60,18,FALSE)</f>
        <v>90.9</v>
      </c>
      <c r="E26" s="11">
        <f>VLOOKUP(A26,Dataset!A22:Z60,20,FALSE)</f>
        <v>183.5</v>
      </c>
      <c r="F26" s="11">
        <f>VLOOKUP(A26,Dataset!A22:AA60,22,FALSE)</f>
        <v>90.9</v>
      </c>
    </row>
    <row r="27" spans="1:6" ht="14.5" x14ac:dyDescent="0.35">
      <c r="A27" s="7" t="s">
        <v>39</v>
      </c>
      <c r="B27" s="11">
        <f>VLOOKUP(A27,Dataset!A23:W61,7,FALSE)</f>
        <v>51.8</v>
      </c>
      <c r="C27" s="11">
        <f>VLOOKUP(A27,Dataset!A23:X61,14,FALSE)</f>
        <v>156.4</v>
      </c>
      <c r="D27" s="11">
        <f>VLOOKUP(A27,Dataset!A23:Y61,18,FALSE)</f>
        <v>93.1</v>
      </c>
      <c r="E27" s="11">
        <f>VLOOKUP(A27,Dataset!A23:Z61,20,FALSE)</f>
        <v>188.1</v>
      </c>
      <c r="F27" s="11">
        <f>VLOOKUP(A27,Dataset!A23:AA61,22,FALSE)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B7" sqref="B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172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149</v>
      </c>
    </row>
    <row r="5" spans="1:10" ht="18.5" x14ac:dyDescent="0.45">
      <c r="A5" s="42" t="s">
        <v>53</v>
      </c>
      <c r="B5" s="39" t="s">
        <v>177</v>
      </c>
    </row>
    <row r="6" spans="1:10" ht="18.5" x14ac:dyDescent="0.45">
      <c r="A6" s="42" t="s">
        <v>151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163</v>
      </c>
      <c r="I9" s="2"/>
      <c r="J9" s="2"/>
    </row>
    <row r="10" spans="1:10" x14ac:dyDescent="0.35">
      <c r="A10" s="32" t="s">
        <v>100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160</v>
      </c>
    </row>
    <row r="15" spans="1:10" x14ac:dyDescent="0.35">
      <c r="A15" s="13" t="s">
        <v>101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119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120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110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111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112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113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114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115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116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117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118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7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165</v>
      </c>
    </row>
    <row r="2" spans="1:3" ht="18.5" x14ac:dyDescent="0.45">
      <c r="B2" s="39" t="s">
        <v>164</v>
      </c>
    </row>
    <row r="5" spans="1:3" ht="14.5" x14ac:dyDescent="0.35">
      <c r="B5" s="1" t="s">
        <v>149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151</v>
      </c>
      <c r="B7" s="1" t="s">
        <v>180</v>
      </c>
    </row>
    <row r="10" spans="1:3" ht="23.5" x14ac:dyDescent="0.55000000000000004">
      <c r="A10" s="17" t="s">
        <v>160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152</v>
      </c>
      <c r="C17" s="16">
        <v>150</v>
      </c>
    </row>
    <row r="18" spans="1:3" ht="14.5" x14ac:dyDescent="0.35">
      <c r="A18" s="31">
        <v>44933</v>
      </c>
      <c r="B18" s="16" t="s">
        <v>153</v>
      </c>
      <c r="C18" s="16">
        <v>80</v>
      </c>
    </row>
    <row r="19" spans="1:3" ht="14.5" x14ac:dyDescent="0.35">
      <c r="A19" s="31">
        <v>44934</v>
      </c>
      <c r="B19" s="16" t="s">
        <v>154</v>
      </c>
      <c r="C19" s="16">
        <v>20</v>
      </c>
    </row>
    <row r="20" spans="1:3" ht="14.5" x14ac:dyDescent="0.35">
      <c r="A20" s="31">
        <v>44935</v>
      </c>
      <c r="B20" s="16" t="s">
        <v>155</v>
      </c>
      <c r="C20" s="16">
        <v>30</v>
      </c>
    </row>
    <row r="21" spans="1:3" ht="14.5" x14ac:dyDescent="0.35">
      <c r="A21" s="31">
        <v>44936</v>
      </c>
      <c r="B21" s="16" t="s">
        <v>156</v>
      </c>
      <c r="C21" s="16">
        <v>20</v>
      </c>
    </row>
    <row r="22" spans="1:3" ht="14.5" x14ac:dyDescent="0.35">
      <c r="B22" s="16" t="s">
        <v>157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0" zoomScale="90" zoomScaleNormal="90" workbookViewId="0">
      <selection activeCell="D31" sqref="D31"/>
    </sheetView>
  </sheetViews>
  <sheetFormatPr defaultColWidth="11" defaultRowHeight="13" x14ac:dyDescent="0.3"/>
  <cols>
    <col min="1" max="1" width="28.19921875" style="2" bestFit="1" customWidth="1"/>
    <col min="2" max="2" width="11" style="2"/>
    <col min="3" max="3" width="16.19921875" style="2" customWidth="1"/>
    <col min="4" max="16384" width="11" style="2"/>
  </cols>
  <sheetData>
    <row r="1" spans="1:14" ht="21" x14ac:dyDescent="0.5">
      <c r="A1" s="41" t="s">
        <v>98</v>
      </c>
      <c r="B1" s="40" t="s">
        <v>173</v>
      </c>
    </row>
    <row r="3" spans="1:14" ht="14.5" x14ac:dyDescent="0.35">
      <c r="B3" s="1" t="s">
        <v>149</v>
      </c>
    </row>
    <row r="4" spans="1:14" ht="18.5" x14ac:dyDescent="0.45">
      <c r="A4" s="42" t="s">
        <v>53</v>
      </c>
      <c r="B4" s="1" t="s">
        <v>181</v>
      </c>
    </row>
    <row r="5" spans="1:14" ht="18.5" x14ac:dyDescent="0.45">
      <c r="A5" s="42" t="s">
        <v>151</v>
      </c>
      <c r="B5" s="1" t="s">
        <v>182</v>
      </c>
    </row>
    <row r="6" spans="1:14" ht="14.5" x14ac:dyDescent="0.35">
      <c r="A6" s="3"/>
      <c r="B6" s="1"/>
    </row>
    <row r="8" spans="1:14" ht="23.5" x14ac:dyDescent="0.55000000000000004">
      <c r="A8" s="17" t="s">
        <v>160</v>
      </c>
      <c r="M8" s="17" t="s">
        <v>161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166</v>
      </c>
    </row>
    <row r="22" spans="1:14" ht="14.5" x14ac:dyDescent="0.35">
      <c r="A22" s="13" t="str">
        <f>VLOOKUP(A23,M10:N18,2,FALSE)</f>
        <v>A</v>
      </c>
      <c r="B22" s="16" t="str">
        <f>VLOOKUP(B23,M10:N18,2,FALSE)</f>
        <v>B</v>
      </c>
      <c r="C22" s="15" t="s">
        <v>100</v>
      </c>
    </row>
    <row r="23" spans="1:14" ht="14.5" x14ac:dyDescent="0.35">
      <c r="A23" s="7">
        <v>10100</v>
      </c>
      <c r="B23" s="11">
        <v>10102</v>
      </c>
      <c r="C23" s="43">
        <f>INDEX($B$10:$J$18,MATCH(_xlfn.XLOOKUP(A23,$M$9:$M$18,$N$9:$N$18),$B$9:$J$9,0),MATCH(_xlfn.XLOOKUP(B23,$M$9:$M$18,$N$9:$N$18),$A$10:$A$18,0))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INDEX($B$10:$J$18,MATCH(_xlfn.XLOOKUP(A24,$M$9:$M$18,$N$9:$N$18),$B$9:$J$9,0),MATCH(_xlfn.XLOOKUP(B24,$M$9:$M$18,$N$9:$N$18),$A$10:$A$18,0))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Md Junaid</cp:lastModifiedBy>
  <dcterms:created xsi:type="dcterms:W3CDTF">2015-02-10T17:33:11Z</dcterms:created>
  <dcterms:modified xsi:type="dcterms:W3CDTF">2023-12-10T17:32:09Z</dcterms:modified>
</cp:coreProperties>
</file>